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econd" sheetId="4" r:id="rId1"/>
    <sheet name="First" sheetId="1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I3" i="4"/>
  <c r="B7" s="1"/>
  <c r="I4"/>
  <c r="I2"/>
  <c r="C13"/>
  <c r="B13"/>
  <c r="B7" i="1"/>
  <c r="B6"/>
  <c r="I2"/>
  <c r="I3"/>
  <c r="I4"/>
  <c r="B6" i="4" l="1"/>
</calcChain>
</file>

<file path=xl/sharedStrings.xml><?xml version="1.0" encoding="utf-8"?>
<sst xmlns="http://schemas.openxmlformats.org/spreadsheetml/2006/main" count="41" uniqueCount="24">
  <si>
    <t>Bilbo</t>
  </si>
  <si>
    <t>Sam</t>
  </si>
  <si>
    <t>Facility 1</t>
  </si>
  <si>
    <t>Frodo</t>
  </si>
  <si>
    <t>Yield</t>
  </si>
  <si>
    <t>Amount</t>
  </si>
  <si>
    <t>Interest</t>
  </si>
  <si>
    <t>Facility</t>
  </si>
  <si>
    <t>Bank Rate</t>
  </si>
  <si>
    <t>Max Default</t>
  </si>
  <si>
    <t>Loan ID</t>
  </si>
  <si>
    <t>Facility ID</t>
  </si>
  <si>
    <t xml:space="preserve">Bank of America </t>
  </si>
  <si>
    <t xml:space="preserve">Chase </t>
  </si>
  <si>
    <t>Facility 2</t>
  </si>
  <si>
    <t>User ID</t>
  </si>
  <si>
    <t>Funds</t>
  </si>
  <si>
    <t>Bank of America</t>
  </si>
  <si>
    <t>Chase</t>
  </si>
  <si>
    <t>Reason</t>
  </si>
  <si>
    <t>Banned state</t>
  </si>
  <si>
    <t>Cheapest Rate</t>
  </si>
  <si>
    <t>Remaining</t>
  </si>
  <si>
    <t>(1-defaultChance) * loanRate * amount - defaultChance* amount - costRate * amount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</si>
</sst>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G9" sqref="G9"/>
    </sheetView>
  </sheetViews>
  <sheetFormatPr defaultRowHeight="15"/>
  <cols>
    <col min="1" max="3" width="12.42578125" customWidth="1"/>
    <col min="5" max="5" width="11.85546875" bestFit="1" customWidth="1"/>
    <col min="6" max="7" width="19" customWidth="1"/>
    <col min="8" max="8" width="11.140625" customWidth="1"/>
    <col min="9" max="9" width="13.28515625" customWidth="1"/>
    <col min="10" max="10" width="17.42578125" customWidth="1"/>
  </cols>
  <sheetData>
    <row r="1" spans="1:10" ht="20.25" customHeight="1">
      <c r="B1" s="1" t="s">
        <v>15</v>
      </c>
      <c r="C1" s="2" t="s">
        <v>5</v>
      </c>
      <c r="D1" s="2" t="s">
        <v>6</v>
      </c>
      <c r="E1" s="2" t="s">
        <v>9</v>
      </c>
      <c r="F1" s="2" t="s">
        <v>7</v>
      </c>
      <c r="G1" s="2" t="s">
        <v>11</v>
      </c>
      <c r="H1" s="2" t="s">
        <v>8</v>
      </c>
      <c r="I1" s="2" t="s">
        <v>4</v>
      </c>
      <c r="J1" s="2" t="s">
        <v>19</v>
      </c>
    </row>
    <row r="2" spans="1:10">
      <c r="A2" t="s">
        <v>0</v>
      </c>
      <c r="B2">
        <v>1</v>
      </c>
      <c r="C2" s="4">
        <v>10552</v>
      </c>
      <c r="D2" s="3">
        <v>0.15</v>
      </c>
      <c r="E2" s="3">
        <v>0.02</v>
      </c>
      <c r="F2" s="3" t="s">
        <v>17</v>
      </c>
      <c r="G2" s="3">
        <v>1</v>
      </c>
      <c r="H2" s="3">
        <v>0.06</v>
      </c>
      <c r="I2" s="4">
        <f>((1-E2)*(D2*C2))-(E2*C2)-(H2*C2)</f>
        <v>706.98400000000004</v>
      </c>
      <c r="J2" s="3" t="s">
        <v>21</v>
      </c>
    </row>
    <row r="3" spans="1:10">
      <c r="A3" t="s">
        <v>3</v>
      </c>
      <c r="B3">
        <v>2</v>
      </c>
      <c r="C3" s="4">
        <v>51157</v>
      </c>
      <c r="D3" s="3">
        <v>0.15</v>
      </c>
      <c r="E3" s="3">
        <v>0.01</v>
      </c>
      <c r="F3" s="3" t="s">
        <v>18</v>
      </c>
      <c r="G3" s="3">
        <v>2</v>
      </c>
      <c r="H3" s="3">
        <v>7.0000000000000007E-2</v>
      </c>
      <c r="I3" s="4">
        <f t="shared" ref="I3:I4" si="0">((1-E3)*(D3*C3))-(E3*C3)-(H3*C3)</f>
        <v>3504.2544999999996</v>
      </c>
      <c r="J3" s="3" t="s">
        <v>20</v>
      </c>
    </row>
    <row r="4" spans="1:10">
      <c r="A4" t="s">
        <v>1</v>
      </c>
      <c r="B4">
        <v>3</v>
      </c>
      <c r="C4" s="4">
        <v>74965</v>
      </c>
      <c r="D4" s="3">
        <v>0.35</v>
      </c>
      <c r="E4" s="3">
        <v>0.06</v>
      </c>
      <c r="F4" s="3" t="s">
        <v>17</v>
      </c>
      <c r="G4" s="3">
        <v>1</v>
      </c>
      <c r="H4" s="3">
        <v>0.06</v>
      </c>
      <c r="I4" s="4">
        <f t="shared" si="0"/>
        <v>15667.684999999999</v>
      </c>
      <c r="J4" s="3" t="s">
        <v>21</v>
      </c>
    </row>
    <row r="5" spans="1:10">
      <c r="J5" s="3"/>
    </row>
    <row r="6" spans="1:10">
      <c r="A6" s="1" t="s">
        <v>2</v>
      </c>
      <c r="B6" s="8">
        <f>I2+I4</f>
        <v>16374.669</v>
      </c>
    </row>
    <row r="7" spans="1:10">
      <c r="A7" s="1" t="s">
        <v>14</v>
      </c>
      <c r="B7" s="8">
        <f>I3</f>
        <v>3504.2544999999996</v>
      </c>
    </row>
    <row r="9" spans="1:10">
      <c r="B9" s="1" t="s">
        <v>2</v>
      </c>
      <c r="C9" s="1" t="s">
        <v>14</v>
      </c>
    </row>
    <row r="10" spans="1:10">
      <c r="A10" s="1" t="s">
        <v>16</v>
      </c>
      <c r="B10" s="6">
        <v>126122</v>
      </c>
      <c r="C10" s="6">
        <v>61104</v>
      </c>
      <c r="F10" s="6"/>
    </row>
    <row r="11" spans="1:10">
      <c r="B11" s="4">
        <v>10552</v>
      </c>
      <c r="C11" s="4">
        <v>51157</v>
      </c>
    </row>
    <row r="12" spans="1:10">
      <c r="B12" s="4">
        <v>74965</v>
      </c>
      <c r="C12" s="5"/>
    </row>
    <row r="13" spans="1:10">
      <c r="A13" s="1" t="s">
        <v>22</v>
      </c>
      <c r="B13" s="4">
        <f>B10-B11-B12</f>
        <v>40605</v>
      </c>
      <c r="C13" s="5">
        <f>C10-C11-C12</f>
        <v>9947</v>
      </c>
    </row>
    <row r="14" spans="1:10">
      <c r="B14" s="5"/>
      <c r="C14" s="5"/>
    </row>
    <row r="15" spans="1:10">
      <c r="B15" s="5"/>
      <c r="C15" s="5"/>
    </row>
    <row r="16" spans="1:10">
      <c r="A16" t="s">
        <v>23</v>
      </c>
      <c r="B16" s="5"/>
      <c r="C16" s="5"/>
    </row>
    <row r="17" spans="2:3">
      <c r="B17" s="7"/>
      <c r="C17" s="7"/>
    </row>
    <row r="18" spans="2:3">
      <c r="B18" s="7"/>
      <c r="C18" s="7"/>
    </row>
    <row r="19" spans="2:3">
      <c r="B19" s="7"/>
      <c r="C1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E8" sqref="E8"/>
    </sheetView>
  </sheetViews>
  <sheetFormatPr defaultRowHeight="15"/>
  <cols>
    <col min="2" max="3" width="11.42578125" customWidth="1"/>
    <col min="5" max="5" width="11.85546875" bestFit="1" customWidth="1"/>
    <col min="6" max="7" width="19" customWidth="1"/>
    <col min="8" max="8" width="11.140625" customWidth="1"/>
    <col min="9" max="9" width="13.28515625" customWidth="1"/>
  </cols>
  <sheetData>
    <row r="1" spans="1:10" ht="20.25" customHeight="1">
      <c r="B1" s="2" t="s">
        <v>10</v>
      </c>
      <c r="C1" s="2" t="s">
        <v>5</v>
      </c>
      <c r="D1" s="2" t="s">
        <v>6</v>
      </c>
      <c r="E1" s="2" t="s">
        <v>9</v>
      </c>
      <c r="F1" s="2" t="s">
        <v>7</v>
      </c>
      <c r="G1" s="2" t="s">
        <v>11</v>
      </c>
      <c r="H1" s="2" t="s">
        <v>8</v>
      </c>
      <c r="I1" s="2" t="s">
        <v>4</v>
      </c>
      <c r="J1" s="3"/>
    </row>
    <row r="2" spans="1:10">
      <c r="A2" t="s">
        <v>0</v>
      </c>
      <c r="B2" s="5">
        <v>1</v>
      </c>
      <c r="C2" s="4">
        <v>10552</v>
      </c>
      <c r="D2" s="3">
        <v>0.15</v>
      </c>
      <c r="E2" s="3">
        <v>0.02</v>
      </c>
      <c r="F2" s="3" t="s">
        <v>12</v>
      </c>
      <c r="G2" s="3">
        <v>2</v>
      </c>
      <c r="H2" s="3">
        <v>0.06</v>
      </c>
      <c r="I2" s="4">
        <f>((1-E2)*(D2*C2))-(H2*C2)</f>
        <v>918.024</v>
      </c>
      <c r="J2" s="3"/>
    </row>
    <row r="3" spans="1:10">
      <c r="A3" t="s">
        <v>3</v>
      </c>
      <c r="B3" s="5">
        <v>2</v>
      </c>
      <c r="C3" s="4">
        <v>51157</v>
      </c>
      <c r="D3" s="3">
        <v>0.15</v>
      </c>
      <c r="E3" s="3">
        <v>0.01</v>
      </c>
      <c r="F3" s="3" t="s">
        <v>12</v>
      </c>
      <c r="G3" s="3">
        <v>2</v>
      </c>
      <c r="H3" s="3">
        <v>0.06</v>
      </c>
      <c r="I3" s="4">
        <f>((1-E3)*(D3*C3))-(H3*C3)</f>
        <v>4527.3944999999994</v>
      </c>
      <c r="J3" s="3"/>
    </row>
    <row r="4" spans="1:10">
      <c r="A4" t="s">
        <v>1</v>
      </c>
      <c r="B4" s="5">
        <v>3</v>
      </c>
      <c r="C4" s="4">
        <v>74965</v>
      </c>
      <c r="D4" s="3">
        <v>0.35</v>
      </c>
      <c r="E4" s="3">
        <v>0.06</v>
      </c>
      <c r="F4" s="3" t="s">
        <v>13</v>
      </c>
      <c r="G4" s="3">
        <v>1</v>
      </c>
      <c r="H4" s="3">
        <v>7.0000000000000007E-2</v>
      </c>
      <c r="I4" s="4">
        <f>((1-E4)*(D4*C4))-(H4*C4)</f>
        <v>19415.934999999998</v>
      </c>
      <c r="J4" s="3"/>
    </row>
    <row r="5" spans="1:10">
      <c r="J5" s="3"/>
    </row>
    <row r="6" spans="1:10">
      <c r="A6" t="s">
        <v>2</v>
      </c>
      <c r="B6" s="6">
        <f>SUM(I4)</f>
        <v>19415.934999999998</v>
      </c>
    </row>
    <row r="7" spans="1:10">
      <c r="A7" t="s">
        <v>14</v>
      </c>
      <c r="B7" s="6">
        <f>SUM(I2:I3)</f>
        <v>5445.4184999999998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Second</vt:lpstr>
      <vt:lpstr>First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david3</dc:creator>
  <cp:lastModifiedBy>david3</cp:lastModifiedBy>
  <dcterms:created xsi:type="dcterms:W3CDTF">2021-02-18T00:14:54Z</dcterms:created>
  <dcterms:modified xsi:type="dcterms:W3CDTF">2021-02-18T00:54:00Z</dcterms:modified>
</cp:coreProperties>
</file>